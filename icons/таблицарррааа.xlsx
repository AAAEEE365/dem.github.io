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6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<sst xmlns="http://schemas.openxmlformats.org/spreadsheetml/2006/main" xmlns:a="http://schemas.openxmlformats.org/drawingml/2006/main" xmlns:a15="http://schemas.microsoft.com/office/drawing/2012/main" xmlns:asvg="http://schemas.microsoft.com/office/drawing/2016/SVG/main" xmlns:c="http://schemas.openxmlformats.org/drawingml/2006/chart" xmlns:co="http://ncloudtech.com" xmlns:co-ooxml="http://ncloudtech.com/ooxml" xmlns:m="http://schemas.openxmlformats.org/officeDocument/2006/math" xmlns:mc="http://schemas.openxmlformats.org/markup-compatibility/2006" xmlns:o="urn:schemas-microsoft-com:office:office" xmlns:p="http://schemas.openxmlformats.org/presentationml/2006/main" xmlns:pic="http://schemas.openxmlformats.org/drawingml/2006/picture" xmlns:r="http://schemas.openxmlformats.org/officeDocument/2006/relationships" xmlns:s="http://schemas.openxmlformats.org/officeDocument/2006/sharedTypes" xmlns:sl="http://schemas.openxmlformats.org/schemaLibrary/2006/main" xmlns:v="urn:schemas-microsoft-com:vml" xmlns:w="http://schemas.openxmlformats.org/wordprocessingml/2006/main" xmlns:w10="urn:schemas-microsoft-com:office:word" xmlns:w14="http://schemas.microsoft.com/office/word/2010/wordml" xmlns:w15="http://schemas.microsoft.com/office/word/2012/wordml" xmlns:wp="http://schemas.openxmlformats.org/drawingml/2006/wordprocessingDrawing" xmlns:wpg="http://schemas.microsoft.com/office/word/2010/wordprocessingGroup" xmlns:wps="http://schemas.microsoft.com/office/word/2010/wordprocessingShape" xmlns:x="urn:schemas-microsoft-com:office:excel" xmlns:x12ac="http://schemas.microsoft.com/office/spreadsheetml/2011/1/ac" xmlns:x14="http://schemas.microsoft.com/office/spreadsheetml/2009/9/main" xmlns:xdr="http://schemas.openxmlformats.org/drawingml/2006/spreadsheetDrawing" xmlns:xm="http://schemas.microsoft.com/office/excel/2006/main" mc:Ignorable="co co-ooxml w14 x14 w15">
  <si>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</si>
  <si>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 для 2</t>
  </si>
  <si>
    <t>сумма для 3</t>
  </si>
  <si/>
  <si>
    <t>для А (лист 3)</t>
  </si>
  <si>
    <t>для B (лист 3)</t>
  </si>
  <si>
    <t>для C (лист 3)</t>
  </si>
  <si>
    <r>
      <rPr>
        <rFont val="XO Thames"/>
        <sz val="12"/>
      </rPr>
      <t xml:space="preserve">статическая функция
</t>
    </r>
  </si>
  <si>
    <r>
      <rPr>
        <rFont val="XO Thames"/>
        <sz val="12"/>
      </rPr>
      <t xml:space="preserve">среднее значение
</t>
    </r>
  </si>
  <si>
    <r>
      <rPr>
        <rFont val="XO Thames"/>
        <sz val="12"/>
      </rPr>
      <t xml:space="preserve">минимальное значение
</t>
    </r>
  </si>
  <si>
    <r>
      <rPr>
        <rFont val="XO Thames"/>
        <sz val="12"/>
      </rPr>
      <t xml:space="preserve">медиана
</t>
    </r>
  </si>
  <si>
    <r>
      <rPr>
        <rFont val="XO Thames"/>
        <sz val="12"/>
      </rPr>
      <t xml:space="preserve">мода
</t>
    </r>
  </si>
  <si>
    <r>
      <rPr>
        <rFont val="XO Thames"/>
        <sz val="12"/>
      </rPr>
      <t xml:space="preserve">диспресия
</t>
    </r>
  </si>
  <si>
    <r>
      <t xml:space="preserve">
</t>
    </r>
  </si>
  <si>
    <r>
      <rPr>
        <rFont val="XO Thames"/>
        <b val="false"/>
        <i val="false"/>
        <color rgb="1D1D1F" tint="0"/>
        <sz val="12"/>
      </rPr>
      <t xml:space="preserve">~55.92
</t>
    </r>
    <r>
      <t xml:space="preserve">
</t>
    </r>
  </si>
  <si>
    <t>~1.1e+13</t>
  </si>
  <si>
    <t>~1.1e+21</t>
  </si>
  <si>
    <t>КОЛЛЕДЖ 1</t>
  </si>
  <si>
    <t>КОЛЛЕДЖ 2</t>
  </si>
  <si>
    <t>КОЛЛЕДЖ 3</t>
  </si>
  <si>
    <r>
      <rPr>
        <rFont val="XO Thames"/>
        <b val="false"/>
        <sz val="12"/>
      </rPr>
      <t>КОЛЛЕДЖ</t>
    </r>
    <r>
      <rPr>
        <rFont val="XO Thames"/>
        <b val="true"/>
        <sz val="12"/>
      </rPr>
      <t xml:space="preserve"> 4</t>
    </r>
  </si>
  <si>
    <r>
      <rPr>
        <rFont val="XO Thames"/>
        <b val="true"/>
        <sz val="12"/>
      </rPr>
      <t>СУММА: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</si>
</sst>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system-ui"/>
      <b val="false"/>
      <i val="false"/>
      <color rgb="1D1D1F" tint="0"/>
      <sz val="12"/>
    </font>
    <font>
      <name val="XO Thames"/>
      <b val="true"/>
      <sz val="12"/>
    </font>
  </fonts>
  <fills count="4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>
        <color rgb="E3E3E3" tint="0"/>
      </bottom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/>
    </border>
    <border>
      <left style="thin">
        <color rgb="E3E3E3" tint="0"/>
      </left>
      <right style="none"/>
      <top style="thin">
        <color rgb="E3E3E3" tint="0"/>
      </top>
      <bottom style="none"/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wrapText="true"/>
    </xf>
    <xf applyAlignment="true" applyBorder="true" applyFill="true" applyFont="true" borderId="1" fillId="2" fontId="2" numFmtId="0" quotePrefix="false">
      <alignment horizontal="left" indent="0" vertical="center"/>
    </xf>
    <xf applyAlignment="true" applyBorder="false" applyFill="false" applyFont="true" borderId="0" fillId="0" fontId="1" numFmtId="0" quotePrefix="false">
      <alignment indent="1"/>
    </xf>
    <xf applyAlignment="true" applyBorder="false" applyFill="false" applyFont="true" borderId="0" fillId="0" fontId="1" numFmtId="0" quotePrefix="false">
      <alignment horizontal="left" indent="0" wrapText="true"/>
    </xf>
    <xf applyAlignment="true" applyBorder="true" applyFill="true" applyFont="true" borderId="2" fillId="3" fontId="2" numFmtId="0" quotePrefix="false">
      <alignment horizontal="left" indent="0" vertical="center"/>
    </xf>
    <xf applyAlignment="true" applyBorder="true" applyFill="false" applyFont="true" borderId="3" fillId="0" fontId="1" numFmtId="0" quotePrefix="false">
      <alignment indent="0" vertical="center"/>
    </xf>
    <xf applyBorder="false" applyFill="false" applyFont="true" borderId="0" fillId="0" fontId="3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cke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'Лист5'!B5:H5</c:f>
            </c:numRef>
          </c:val>
          <c:smooth val="false"/>
        </c:ser>
        <c:ser>
          <c:idx val="5"/>
          <c:order val="5"/>
          <c:tx>
            <c:strRef>
              <c:f>'Лист5'!A6</c:f>
            </c:strRef>
          </c:tx>
          <c:spPr>
            <a:ln w="38100">
              <a:solidFill>
                <a:schemeClr val="accent6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'Лист5'!B6:H6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028700" y="154304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f aca="false" ca="false" dt2D="false" dtr="false" t="normal">2^(A1+1)-1</f>
        <v>1</v>
      </c>
    </row>
    <row outlineLevel="0" r="2">
      <c r="A2" s="0" t="n">
        <v>1</v>
      </c>
      <c r="B2" s="0" t="n">
        <f aca="false" ca="false" dt2D="false" dtr="false" t="normal">2^(A2+1)-1</f>
        <v>3</v>
      </c>
    </row>
    <row outlineLevel="0" r="3">
      <c r="A3" s="0" t="n">
        <v>2</v>
      </c>
      <c r="B3" s="0" t="n">
        <f aca="false" ca="false" dt2D="false" dtr="false" t="normal">2^(A3+1)-1</f>
        <v>7</v>
      </c>
    </row>
    <row outlineLevel="0" r="4">
      <c r="A4" s="0" t="n">
        <v>3</v>
      </c>
      <c r="B4" s="0" t="n">
        <f aca="false" ca="false" dt2D="false" dtr="false" t="normal">2^(A4+1)-1</f>
        <v>15</v>
      </c>
    </row>
    <row outlineLevel="0" r="5">
      <c r="A5" s="0" t="n">
        <v>4</v>
      </c>
      <c r="B5" s="0" t="n">
        <f aca="false" ca="false" dt2D="false" dtr="false" t="normal">2^(A5+1)-1</f>
        <v>31</v>
      </c>
    </row>
    <row outlineLevel="0" r="6">
      <c r="A6" s="0" t="n">
        <v>5</v>
      </c>
      <c r="B6" s="0" t="n">
        <f aca="false" ca="false" dt2D="false" dtr="false" t="normal">2^(A6+1)-1</f>
        <v>63</v>
      </c>
    </row>
    <row outlineLevel="0" r="7">
      <c r="A7" s="0" t="n">
        <v>6</v>
      </c>
      <c r="B7" s="0" t="n">
        <f aca="false" ca="false" dt2D="false" dtr="false" t="normal">2^(A7+1)-1</f>
        <v>127</v>
      </c>
    </row>
    <row outlineLevel="0" r="8">
      <c r="A8" s="0" t="n">
        <v>7</v>
      </c>
      <c r="B8" s="0" t="n">
        <f aca="false" ca="false" dt2D="false" dtr="false" t="normal">2^(A8+1)-1</f>
        <v>255</v>
      </c>
    </row>
    <row outlineLevel="0" r="9">
      <c r="A9" s="0" t="n">
        <v>8</v>
      </c>
      <c r="B9" s="0" t="n">
        <f aca="false" ca="false" dt2D="false" dtr="false" t="normal">2^(A9+1)-1</f>
        <v>511</v>
      </c>
    </row>
    <row outlineLevel="0" r="10">
      <c r="A10" s="0" t="n">
        <v>9</v>
      </c>
      <c r="B10" s="0" t="n">
        <f aca="false" ca="false" dt2D="false" dtr="false" t="normal">2^(A10+1)-1</f>
        <v>1023</v>
      </c>
    </row>
    <row outlineLevel="0" r="11">
      <c r="A11" s="0" t="n">
        <v>10</v>
      </c>
      <c r="B11" s="0" t="n">
        <f aca="false" ca="false" dt2D="false" dtr="false" t="normal">2^(A11+1)-1</f>
        <v>2047</v>
      </c>
    </row>
    <row outlineLevel="0" r="12">
      <c r="A12" s="0" t="n">
        <v>11</v>
      </c>
      <c r="B12" s="0" t="n">
        <f aca="false" ca="false" dt2D="false" dtr="false" t="normal">2^(A12+1)-1</f>
        <v>4095</v>
      </c>
    </row>
    <row outlineLevel="0" r="13">
      <c r="A13" s="0" t="n">
        <v>12</v>
      </c>
      <c r="B13" s="0" t="n">
        <f aca="false" ca="false" dt2D="false" dtr="false" t="normal">2^(A13+1)-1</f>
        <v>8191</v>
      </c>
    </row>
    <row outlineLevel="0" r="14">
      <c r="A14" s="0" t="n">
        <v>13</v>
      </c>
      <c r="B14" s="0" t="n">
        <f aca="false" ca="false" dt2D="false" dtr="false" t="normal">2^(A14+1)-1</f>
        <v>16383</v>
      </c>
    </row>
    <row outlineLevel="0" r="15">
      <c r="A15" s="0" t="n">
        <v>14</v>
      </c>
      <c r="B15" s="0" t="n">
        <f aca="false" ca="false" dt2D="false" dtr="false" t="normal">2^(A15+1)-1</f>
        <v>32767</v>
      </c>
    </row>
    <row outlineLevel="0" r="16">
      <c r="A16" s="0" t="n">
        <v>15</v>
      </c>
      <c r="B16" s="0" t="n">
        <f aca="false" ca="false" dt2D="false" dtr="false" t="normal">2^(A16+1)-1</f>
        <v>65535</v>
      </c>
    </row>
    <row outlineLevel="0" r="17">
      <c r="A17" s="0" t="n">
        <v>16</v>
      </c>
      <c r="B17" s="0" t="n">
        <f aca="false" ca="false" dt2D="false" dtr="false" t="normal">2^(A17+1)-1</f>
        <v>131071</v>
      </c>
    </row>
    <row outlineLevel="0" r="18">
      <c r="A18" s="0" t="n">
        <v>17</v>
      </c>
      <c r="B18" s="0" t="n">
        <f aca="false" ca="false" dt2D="false" dtr="false" t="normal">2^(A18+1)-1</f>
        <v>262143</v>
      </c>
    </row>
    <row outlineLevel="0" r="19">
      <c r="A19" s="0" t="n">
        <v>18</v>
      </c>
      <c r="B19" s="0" t="n">
        <f aca="false" ca="false" dt2D="false" dtr="false" t="normal">2^(A19+1)-1</f>
        <v>524287</v>
      </c>
    </row>
    <row outlineLevel="0" r="20">
      <c r="A20" s="0" t="n">
        <v>19</v>
      </c>
      <c r="B20" s="0" t="n">
        <f aca="false" ca="false" dt2D="false" dtr="false" t="normal">2^(A20+1)-1</f>
        <v>1048575</v>
      </c>
    </row>
    <row outlineLevel="0" r="21">
      <c r="A21" s="0" t="n">
        <v>20</v>
      </c>
      <c r="B21" s="0" t="n">
        <f aca="false" ca="false" dt2D="false" dtr="false" t="normal">2^(A21+1)-1</f>
        <v>2097151</v>
      </c>
    </row>
    <row outlineLevel="0" r="22">
      <c r="A22" s="0" t="n">
        <v>21</v>
      </c>
      <c r="B22" s="0" t="n">
        <f aca="false" ca="false" dt2D="false" dtr="false" t="normal">2^(A22+1)-1</f>
        <v>4194303</v>
      </c>
    </row>
    <row outlineLevel="0" r="23">
      <c r="A23" s="0" t="n">
        <v>22</v>
      </c>
      <c r="B23" s="0" t="n">
        <f aca="false" ca="false" dt2D="false" dtr="false" t="normal">2^(A23+1)-1</f>
        <v>8388607</v>
      </c>
    </row>
    <row outlineLevel="0" r="24">
      <c r="A24" s="0" t="n">
        <v>23</v>
      </c>
      <c r="B24" s="0" t="n">
        <f aca="false" ca="false" dt2D="false" dtr="false" t="normal">2^(A24+1)-1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0</v>
      </c>
      <c r="B1" s="0" t="n">
        <f aca="false" ca="false" dt2D="false" dtr="false" t="normal">(3^(A1+1)-1)/2</f>
        <v>1</v>
      </c>
    </row>
    <row outlineLevel="0" r="2">
      <c r="A2" s="0" t="n">
        <v>1</v>
      </c>
      <c r="B2" s="0" t="n">
        <f aca="false" ca="false" dt2D="false" dtr="false" t="normal">(3^(A2+1)-1)/2</f>
        <v>4</v>
      </c>
    </row>
    <row outlineLevel="0" r="3">
      <c r="A3" s="0" t="n">
        <v>2</v>
      </c>
      <c r="B3" s="0" t="n">
        <f aca="false" ca="false" dt2D="false" dtr="false" t="normal">(3^(A3+1)-1)/2</f>
        <v>13</v>
      </c>
    </row>
    <row outlineLevel="0" r="4">
      <c r="A4" s="0" t="n">
        <v>3</v>
      </c>
      <c r="B4" s="0" t="n">
        <f aca="false" ca="false" dt2D="false" dtr="false" t="normal">(3^(A4+1)-1)/2</f>
        <v>40</v>
      </c>
    </row>
    <row outlineLevel="0" r="5">
      <c r="A5" s="0" t="n">
        <v>4</v>
      </c>
      <c r="B5" s="0" t="n">
        <f aca="false" ca="false" dt2D="false" dtr="false" t="normal">(3^(A5+1)-1)/2</f>
        <v>121</v>
      </c>
    </row>
    <row outlineLevel="0" r="6">
      <c r="A6" s="0" t="n">
        <v>5</v>
      </c>
      <c r="B6" s="0" t="n">
        <f aca="false" ca="false" dt2D="false" dtr="false" t="normal">(3^(A6+1)-1)/2</f>
        <v>364</v>
      </c>
    </row>
    <row outlineLevel="0" r="7">
      <c r="A7" s="0" t="n">
        <v>6</v>
      </c>
      <c r="B7" s="0" t="n">
        <f aca="false" ca="false" dt2D="false" dtr="false" t="normal">(3^(A7+1)-1)/2</f>
        <v>1093</v>
      </c>
    </row>
    <row outlineLevel="0" r="8">
      <c r="A8" s="0" t="n">
        <v>7</v>
      </c>
      <c r="B8" s="0" t="n">
        <f aca="false" ca="false" dt2D="false" dtr="false" t="normal">(3^(A8+1)-1)/2</f>
        <v>3280</v>
      </c>
    </row>
    <row outlineLevel="0" r="9">
      <c r="A9" s="0" t="n">
        <v>8</v>
      </c>
      <c r="B9" s="0" t="n">
        <f aca="false" ca="false" dt2D="false" dtr="false" t="normal">(3^(A9+1)-1)/2</f>
        <v>9841</v>
      </c>
    </row>
    <row outlineLevel="0" r="10">
      <c r="A10" s="0" t="n">
        <v>9</v>
      </c>
      <c r="B10" s="0" t="n">
        <f aca="false" ca="false" dt2D="false" dtr="false" t="normal">(3^(A10+1)-1)/2</f>
        <v>29524</v>
      </c>
    </row>
    <row outlineLevel="0" r="11">
      <c r="A11" s="0" t="n">
        <v>10</v>
      </c>
      <c r="B11" s="0" t="n">
        <f aca="false" ca="false" dt2D="false" dtr="false" t="normal">(3^(A11+1)-1)/2</f>
        <v>88573</v>
      </c>
    </row>
    <row outlineLevel="0" r="12">
      <c r="A12" s="0" t="n">
        <v>11</v>
      </c>
      <c r="B12" s="0" t="n">
        <f aca="false" ca="false" dt2D="false" dtr="false" t="normal">(3^(A12+1)-1)/2</f>
        <v>265720</v>
      </c>
    </row>
    <row outlineLevel="0" r="13">
      <c r="A13" s="0" t="n">
        <v>12</v>
      </c>
      <c r="B13" s="0" t="n">
        <f aca="false" ca="false" dt2D="false" dtr="false" t="normal">(3^(A13+1)-1)/2</f>
        <v>797161</v>
      </c>
    </row>
    <row outlineLevel="0" r="14">
      <c r="A14" s="0" t="n">
        <v>13</v>
      </c>
      <c r="B14" s="0" t="n">
        <f aca="false" ca="false" dt2D="false" dtr="false" t="normal">(3^(A14+1)-1)/2</f>
        <v>2391484</v>
      </c>
    </row>
    <row outlineLevel="0" r="15">
      <c r="A15" s="0" t="n">
        <v>14</v>
      </c>
      <c r="B15" s="0" t="n">
        <f aca="false" ca="false" dt2D="false" dtr="false" t="normal">(3^(A15+1)-1)/2</f>
        <v>7174453</v>
      </c>
    </row>
    <row outlineLevel="0" r="16">
      <c r="A16" s="0" t="n">
        <v>15</v>
      </c>
      <c r="B16" s="0" t="n">
        <f aca="false" ca="false" dt2D="false" dtr="false" t="normal">(3^(A16+1)-1)/2</f>
        <v>21523360</v>
      </c>
    </row>
    <row outlineLevel="0" r="17">
      <c r="A17" s="0" t="n">
        <v>16</v>
      </c>
      <c r="B17" s="0" t="n">
        <f aca="false" ca="false" dt2D="false" dtr="false" t="normal">(3^(A17+1)-1)/2</f>
        <v>64570081</v>
      </c>
    </row>
    <row outlineLevel="0" r="18">
      <c r="A18" s="0" t="n">
        <v>17</v>
      </c>
      <c r="B18" s="0" t="n">
        <f aca="false" ca="false" dt2D="false" dtr="false" t="normal">(3^(A18+1)-1)/2</f>
        <v>193710244</v>
      </c>
    </row>
    <row outlineLevel="0" r="19">
      <c r="A19" s="0" t="n">
        <v>18</v>
      </c>
      <c r="B19" s="0" t="n">
        <f aca="false" ca="false" dt2D="false" dtr="false" t="normal">(3^(A19+1)-1)/2</f>
        <v>581130733</v>
      </c>
    </row>
    <row outlineLevel="0" r="20">
      <c r="A20" s="0" t="n">
        <v>19</v>
      </c>
      <c r="B20" s="0" t="n">
        <f aca="false" ca="false" dt2D="false" dtr="false" t="normal">(3^(A20+1)-1)/2</f>
        <v>1743392200</v>
      </c>
    </row>
    <row outlineLevel="0" r="21">
      <c r="A21" s="0" t="n">
        <v>20</v>
      </c>
      <c r="B21" s="0" t="n">
        <f aca="false" ca="false" dt2D="false" dtr="false" t="normal">(3^(A21+1)-1)/2</f>
        <v>5230176601</v>
      </c>
    </row>
    <row outlineLevel="0" r="22">
      <c r="A22" s="0" t="n">
        <v>21</v>
      </c>
      <c r="B22" s="0" t="n">
        <f aca="false" ca="false" dt2D="false" dtr="false" t="normal">(3^(A22+1)-1)/2</f>
        <v>15690529804</v>
      </c>
    </row>
    <row outlineLevel="0" r="23">
      <c r="A23" s="0" t="n">
        <v>22</v>
      </c>
      <c r="B23" s="0" t="n">
        <f aca="false" ca="false" dt2D="false" dtr="false" t="normal">(3^(A23+1)-1)/2</f>
        <v>47071589413</v>
      </c>
    </row>
    <row outlineLevel="0" r="24">
      <c r="A24" s="0" t="n">
        <v>23</v>
      </c>
      <c r="B24" s="0" t="n">
        <f aca="false" ca="false" dt2D="false" dtr="false" t="normal">(3^(A24+1)-1)/2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011084614048201"/>
    <col customWidth="true" max="2" min="2" outlineLevel="0" width="11.84035246112265"/>
    <col customWidth="true" max="3" min="3" outlineLevel="0" width="11.574279770752756"/>
  </cols>
  <sheetData>
    <row outlineLevel="0" r="1">
      <c r="A1" s="0" t="s">
        <v>0</v>
      </c>
      <c r="B1" s="0" t="s">
        <v>1</v>
      </c>
      <c r="C1" s="0" t="s">
        <v>2</v>
      </c>
    </row>
    <row outlineLevel="0" r="2">
      <c r="A2" s="0" t="n">
        <v>0</v>
      </c>
      <c r="B2" s="0" t="n">
        <f aca="false" ca="false" dt2D="false" dtr="false" t="normal">VLOOKUP(A2, 'Лист1'!$A$1:$B$25, 2, FALSE)</f>
        <v>1</v>
      </c>
      <c r="C2" s="0" t="n">
        <f aca="false" ca="false" dt2D="false" dtr="false" t="normal">VLOOKUP(A2, 'Лист2'!$A$1:$B$25, 2, FALSE)</f>
        <v>1</v>
      </c>
    </row>
    <row outlineLevel="0" r="3">
      <c r="A3" s="0" t="n">
        <v>1</v>
      </c>
      <c r="B3" s="0" t="n">
        <f aca="false" ca="false" dt2D="false" dtr="false" t="normal">VLOOKUP(A3, 'Лист1'!$A$1:$B$25, 2, FALSE)</f>
        <v>3</v>
      </c>
      <c r="C3" s="0" t="n">
        <f aca="false" ca="false" dt2D="false" dtr="false" t="normal">VLOOKUP(A3, 'Лист2'!$A$1:$B$25, 2, FALSE)</f>
        <v>4</v>
      </c>
    </row>
    <row outlineLevel="0" r="4">
      <c r="A4" s="0" t="n">
        <v>2</v>
      </c>
      <c r="B4" s="0" t="n">
        <f aca="false" ca="false" dt2D="false" dtr="false" t="normal">VLOOKUP(A4, 'Лист1'!$A$1:$B$25, 2, FALSE)</f>
        <v>7</v>
      </c>
      <c r="C4" s="0" t="n">
        <f aca="false" ca="false" dt2D="false" dtr="false" t="normal">VLOOKUP(A4, 'Лист2'!$A$1:$B$25, 2, FALSE)</f>
        <v>13</v>
      </c>
    </row>
    <row outlineLevel="0" r="5">
      <c r="A5" s="0" t="n">
        <v>3</v>
      </c>
      <c r="B5" s="0" t="n">
        <f aca="false" ca="false" dt2D="false" dtr="false" t="normal">VLOOKUP(A5, 'Лист1'!$A$1:$B$25, 2, FALSE)</f>
        <v>15</v>
      </c>
      <c r="C5" s="0" t="n">
        <f aca="false" ca="false" dt2D="false" dtr="false" t="normal">VLOOKUP(A5, 'Лист2'!$A$1:$B$25, 2, FALSE)</f>
        <v>40</v>
      </c>
    </row>
    <row outlineLevel="0" r="6">
      <c r="A6" s="0" t="n">
        <v>4</v>
      </c>
      <c r="B6" s="0" t="n">
        <f aca="false" ca="false" dt2D="false" dtr="false" t="normal">VLOOKUP(A6, 'Лист1'!$A$1:$B$25, 2, FALSE)</f>
        <v>31</v>
      </c>
      <c r="C6" s="0" t="n">
        <f aca="false" ca="false" dt2D="false" dtr="false" t="normal">VLOOKUP(A6, 'Лист2'!$A$1:$B$25, 2, FALSE)</f>
        <v>121</v>
      </c>
    </row>
    <row outlineLevel="0" r="7">
      <c r="A7" s="0" t="n">
        <v>5</v>
      </c>
      <c r="B7" s="0" t="n">
        <f aca="false" ca="false" dt2D="false" dtr="false" t="normal">VLOOKUP(A7, 'Лист1'!$A$1:$B$25, 2, FALSE)</f>
        <v>63</v>
      </c>
      <c r="C7" s="0" t="n">
        <f aca="false" ca="false" dt2D="false" dtr="false" t="normal">VLOOKUP(A7, 'Лист2'!$A$1:$B$25, 2, FALSE)</f>
        <v>364</v>
      </c>
    </row>
    <row outlineLevel="0" r="8">
      <c r="A8" s="0" t="n">
        <v>6</v>
      </c>
      <c r="B8" s="0" t="n">
        <f aca="false" ca="false" dt2D="false" dtr="false" t="normal">VLOOKUP(A8, 'Лист1'!$A$1:$B$25, 2, FALSE)</f>
        <v>127</v>
      </c>
      <c r="C8" s="0" t="n">
        <f aca="false" ca="false" dt2D="false" dtr="false" t="normal">VLOOKUP(A8, 'Лист2'!$A$1:$B$25, 2, FALSE)</f>
        <v>1093</v>
      </c>
    </row>
    <row outlineLevel="0" r="9">
      <c r="A9" s="0" t="n">
        <v>7</v>
      </c>
      <c r="B9" s="0" t="n">
        <f aca="false" ca="false" dt2D="false" dtr="false" t="normal">VLOOKUP(A9, 'Лист1'!$A$1:$B$25, 2, FALSE)</f>
        <v>255</v>
      </c>
      <c r="C9" s="0" t="n">
        <f aca="false" ca="false" dt2D="false" dtr="false" t="normal">VLOOKUP(A9, 'Лист2'!$A$1:$B$25, 2, FALSE)</f>
        <v>3280</v>
      </c>
    </row>
    <row outlineLevel="0" r="10">
      <c r="A10" s="0" t="n">
        <v>8</v>
      </c>
      <c r="B10" s="0" t="n">
        <f aca="false" ca="false" dt2D="false" dtr="false" t="normal">VLOOKUP(A10, 'Лист1'!$A$1:$B$25, 2, FALSE)</f>
        <v>511</v>
      </c>
      <c r="C10" s="0" t="n">
        <f aca="false" ca="false" dt2D="false" dtr="false" t="normal">VLOOKUP(A10, 'Лист2'!$A$1:$B$25, 2, FALSE)</f>
        <v>9841</v>
      </c>
    </row>
    <row outlineLevel="0" r="11">
      <c r="A11" s="0" t="n">
        <v>9</v>
      </c>
      <c r="B11" s="0" t="n">
        <f aca="false" ca="false" dt2D="false" dtr="false" t="normal">VLOOKUP(A11, 'Лист1'!$A$1:$B$25, 2, FALSE)</f>
        <v>1023</v>
      </c>
      <c r="C11" s="0" t="n">
        <f aca="false" ca="false" dt2D="false" dtr="false" t="normal">VLOOKUP(A11, 'Лист2'!$A$1:$B$25, 2, FALSE)</f>
        <v>29524</v>
      </c>
    </row>
    <row outlineLevel="0" r="12">
      <c r="A12" s="0" t="n">
        <v>10</v>
      </c>
      <c r="B12" s="0" t="n">
        <f aca="false" ca="false" dt2D="false" dtr="false" t="normal">VLOOKUP(A12, 'Лист1'!$A$1:$B$25, 2, FALSE)</f>
        <v>2047</v>
      </c>
      <c r="C12" s="0" t="n">
        <f aca="false" ca="false" dt2D="false" dtr="false" t="normal">VLOOKUP(A12, 'Лист2'!$A$1:$B$25, 2, FALSE)</f>
        <v>88573</v>
      </c>
    </row>
    <row outlineLevel="0" r="13">
      <c r="A13" s="0" t="n">
        <v>11</v>
      </c>
      <c r="B13" s="0" t="n">
        <f aca="false" ca="false" dt2D="false" dtr="false" t="normal">VLOOKUP(A13, 'Лист1'!$A$1:$B$25, 2, FALSE)</f>
        <v>4095</v>
      </c>
      <c r="C13" s="0" t="n">
        <f aca="false" ca="false" dt2D="false" dtr="false" t="normal">VLOOKUP(A13, 'Лист2'!$A$1:$B$25, 2, FALSE)</f>
        <v>265720</v>
      </c>
    </row>
    <row outlineLevel="0" r="14">
      <c r="A14" s="0" t="n">
        <v>12</v>
      </c>
      <c r="B14" s="0" t="n">
        <f aca="false" ca="false" dt2D="false" dtr="false" t="normal">VLOOKUP(A14, 'Лист1'!$A$1:$B$25, 2, FALSE)</f>
        <v>8191</v>
      </c>
      <c r="C14" s="0" t="n">
        <f aca="false" ca="false" dt2D="false" dtr="false" t="normal">VLOOKUP(A14, 'Лист2'!$A$1:$B$25, 2, FALSE)</f>
        <v>797161</v>
      </c>
    </row>
    <row outlineLevel="0" r="15">
      <c r="A15" s="0" t="n">
        <v>13</v>
      </c>
      <c r="B15" s="0" t="n">
        <f aca="false" ca="false" dt2D="false" dtr="false" t="normal">VLOOKUP(A15, 'Лист1'!$A$1:$B$25, 2, FALSE)</f>
        <v>16383</v>
      </c>
      <c r="C15" s="0" t="n">
        <f aca="false" ca="false" dt2D="false" dtr="false" t="normal">VLOOKUP(A15, 'Лист2'!$A$1:$B$25, 2, FALSE)</f>
        <v>2391484</v>
      </c>
    </row>
    <row outlineLevel="0" r="16">
      <c r="A16" s="0" t="n">
        <v>14</v>
      </c>
      <c r="B16" s="0" t="n">
        <f aca="false" ca="false" dt2D="false" dtr="false" t="normal">VLOOKUP(A16, 'Лист1'!$A$1:$B$25, 2, FALSE)</f>
        <v>32767</v>
      </c>
      <c r="C16" s="0" t="n">
        <f aca="false" ca="false" dt2D="false" dtr="false" t="normal">VLOOKUP(A16, 'Лист2'!$A$1:$B$25, 2, FALSE)</f>
        <v>7174453</v>
      </c>
    </row>
    <row outlineLevel="0" r="17">
      <c r="A17" s="0" t="n">
        <v>15</v>
      </c>
      <c r="B17" s="0" t="n">
        <f aca="false" ca="false" dt2D="false" dtr="false" t="normal">VLOOKUP(A17, 'Лист1'!$A$1:$B$25, 2, FALSE)</f>
        <v>65535</v>
      </c>
      <c r="C17" s="0" t="n">
        <f aca="false" ca="false" dt2D="false" dtr="false" t="normal">VLOOKUP(A17, 'Лист2'!$A$1:$B$25, 2, FALSE)</f>
        <v>21523360</v>
      </c>
    </row>
    <row outlineLevel="0" r="18">
      <c r="A18" s="0" t="n">
        <v>16</v>
      </c>
      <c r="B18" s="0" t="n">
        <f aca="false" ca="false" dt2D="false" dtr="false" t="normal">VLOOKUP(A18, 'Лист1'!$A$1:$B$25, 2, FALSE)</f>
        <v>131071</v>
      </c>
      <c r="C18" s="0" t="n">
        <f aca="false" ca="false" dt2D="false" dtr="false" t="normal">VLOOKUP(A18, 'Лист2'!$A$1:$B$25, 2, FALSE)</f>
        <v>64570081</v>
      </c>
    </row>
    <row outlineLevel="0" r="19">
      <c r="A19" s="0" t="n">
        <v>17</v>
      </c>
      <c r="B19" s="0" t="n">
        <f aca="false" ca="false" dt2D="false" dtr="false" t="normal">VLOOKUP(A19, 'Лист1'!$A$1:$B$25, 2, FALSE)</f>
        <v>262143</v>
      </c>
      <c r="C19" s="0" t="n">
        <f aca="false" ca="false" dt2D="false" dtr="false" t="normal">VLOOKUP(A19, 'Лист2'!$A$1:$B$25, 2, FALSE)</f>
        <v>193710244</v>
      </c>
    </row>
    <row outlineLevel="0" r="20">
      <c r="A20" s="0" t="n">
        <v>18</v>
      </c>
      <c r="B20" s="0" t="n">
        <f aca="false" ca="false" dt2D="false" dtr="false" t="normal">VLOOKUP(A20, 'Лист1'!$A$1:$B$25, 2, FALSE)</f>
        <v>524287</v>
      </c>
      <c r="C20" s="0" t="n">
        <f aca="false" ca="false" dt2D="false" dtr="false" t="normal">VLOOKUP(A20, 'Лист2'!$A$1:$B$25, 2, FALSE)</f>
        <v>581130733</v>
      </c>
    </row>
    <row outlineLevel="0" r="21">
      <c r="A21" s="0" t="n">
        <v>19</v>
      </c>
      <c r="B21" s="0" t="n">
        <f aca="false" ca="false" dt2D="false" dtr="false" t="normal">VLOOKUP(A21, 'Лист1'!$A$1:$B$25, 2, FALSE)</f>
        <v>1048575</v>
      </c>
      <c r="C21" s="0" t="n">
        <f aca="false" ca="false" dt2D="false" dtr="false" t="normal">VLOOKUP(A21, 'Лист2'!$A$1:$B$25, 2, FALSE)</f>
        <v>1743392200</v>
      </c>
    </row>
    <row outlineLevel="0" r="22">
      <c r="A22" s="0" t="n">
        <v>20</v>
      </c>
      <c r="B22" s="0" t="n">
        <f aca="false" ca="false" dt2D="false" dtr="false" t="normal">VLOOKUP(A22, 'Лист1'!$A$1:$B$25, 2, FALSE)</f>
        <v>2097151</v>
      </c>
      <c r="C22" s="0" t="n">
        <f aca="false" ca="false" dt2D="false" dtr="false" t="normal">VLOOKUP(A22, 'Лист2'!$A$1:$B$25, 2, FALSE)</f>
        <v>5230176601</v>
      </c>
    </row>
    <row outlineLevel="0" r="23">
      <c r="A23" s="0" t="n">
        <v>21</v>
      </c>
      <c r="B23" s="0" t="n">
        <f aca="false" ca="false" dt2D="false" dtr="false" t="normal">VLOOKUP(A23, 'Лист1'!$A$1:$B$25, 2, FALSE)</f>
        <v>4194303</v>
      </c>
      <c r="C23" s="0" t="n">
        <f aca="false" ca="false" dt2D="false" dtr="false" t="normal">VLOOKUP(A23, 'Лист2'!$A$1:$B$25, 2, FALSE)</f>
        <v>15690529804</v>
      </c>
    </row>
    <row outlineLevel="0" r="24">
      <c r="A24" s="0" t="n">
        <v>22</v>
      </c>
      <c r="B24" s="0" t="n">
        <f aca="false" ca="false" dt2D="false" dtr="false" t="normal">VLOOKUP(A24, 'Лист1'!$A$1:$B$25, 2, FALSE)</f>
        <v>8388607</v>
      </c>
      <c r="C24" s="0" t="n">
        <f aca="false" ca="false" dt2D="false" dtr="false" t="normal">VLOOKUP(A24, 'Лист2'!$A$1:$B$25, 2, FALSE)</f>
        <v>47071589413</v>
      </c>
    </row>
    <row outlineLevel="0" r="25">
      <c r="A25" s="0" t="n">
        <v>23</v>
      </c>
      <c r="B25" s="0" t="n">
        <f aca="false" ca="false" dt2D="false" dtr="false" t="normal">VLOOKUP(A25, 'Лист1'!$A$1:$B$25, 2, FALSE)</f>
        <v>16777215</v>
      </c>
      <c r="C25" s="0" t="n">
        <f aca="false" ca="false" dt2D="false" dtr="false" t="normal">VLOOKUP(A25, 'Лист2'!$A$1:$B$25, 2, FALSE)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1.685142151188217"/>
    <col customWidth="true" max="2" min="2" outlineLevel="0" width="15.565408019525837"/>
    <col bestFit="true" customWidth="true" max="3" min="3" outlineLevel="0" width="13.525845801303831"/>
    <col customWidth="true" max="4" min="4" outlineLevel="0" width="14.279033188205666"/>
    <col bestFit="true" customWidth="true" max="5" min="5" outlineLevel="0" width="13.525845801303831"/>
  </cols>
  <sheetData>
    <row outlineLevel="0" r="1">
      <c r="A1" s="0" t="s">
        <v>3</v>
      </c>
      <c r="B1" s="0" t="s">
        <v>4</v>
      </c>
      <c r="C1" s="0" t="s">
        <v>5</v>
      </c>
      <c r="D1" s="0" t="s">
        <v>6</v>
      </c>
      <c r="E1" s="0" t="s">
        <v>3</v>
      </c>
    </row>
    <row outlineLevel="0" r="2">
      <c r="A2" s="1" t="s">
        <v>7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8825923014.5</v>
      </c>
    </row>
    <row outlineLevel="0" r="3">
      <c r="A3" s="1" t="s">
        <v>8</v>
      </c>
      <c r="B3" s="0" t="n">
        <f aca="false" ca="false" dt2D="false" dtr="false" t="normal">AVERAGE('Лист3'!$B$2:$B$25)</f>
        <v>1398100.25</v>
      </c>
      <c r="C3" s="0" t="n">
        <f aca="false" ca="false" dt2D="false" dtr="false" t="normal">AVERAGE('Лист3'!$B$2:$B$25)</f>
        <v>1398100.25</v>
      </c>
      <c r="D3" s="0" t="n">
        <f aca="false" ca="false" dt2D="false" dtr="false" t="normal">AVERAGE('Лист3'!$B$2:$B$25)</f>
        <v>1398100.25</v>
      </c>
    </row>
    <row outlineLevel="0" r="4">
      <c r="A4" s="1" t="s">
        <v>9</v>
      </c>
      <c r="B4" s="2" t="n">
        <f aca="false" ca="false" dt2D="false" dtr="false" t="normal">MIN('Лист3'!$B$2:$B$25)</f>
        <v>1</v>
      </c>
      <c r="C4" s="2" t="n">
        <f aca="false" ca="false" dt2D="false" dtr="false" t="normal">MIN('Лист3'!$B$2:$B$25)</f>
        <v>1</v>
      </c>
      <c r="D4" s="2" t="n">
        <f aca="false" ca="false" dt2D="false" dtr="false" t="normal">MIN('Лист3'!$B$2:$B$25)</f>
        <v>1</v>
      </c>
    </row>
    <row outlineLevel="0" r="5">
      <c r="A5" s="1" t="s">
        <v>10</v>
      </c>
      <c r="B5" s="2" t="n">
        <f aca="false" ca="false" dt2D="false" dtr="false" t="normal">MEDIAN('Лист3'!$B$2:$B$25)</f>
        <v>6143</v>
      </c>
      <c r="C5" s="2" t="n">
        <f aca="false" ca="false" dt2D="false" dtr="false" t="normal">MEDIAN('Лист3'!$B$2:$B$25)</f>
        <v>6143</v>
      </c>
      <c r="D5" s="2" t="n">
        <f aca="false" ca="false" dt2D="false" dtr="false" t="normal">MEDIAN('Лист3'!$B$2:$B$25)</f>
        <v>6143</v>
      </c>
    </row>
    <row outlineLevel="0" r="6">
      <c r="A6" s="1" t="s">
        <v>11</v>
      </c>
      <c r="B6" s="0" t="e">
        <f aca="false" ca="false" dt2D="false" dtr="false" t="normal">_XLFN.MODE.SNGL('Лист3'!$B$2:$B$25)</f>
        <v>#N/A</v>
      </c>
      <c r="C6" s="0" t="e">
        <f aca="false" ca="false" dt2D="false" dtr="false" t="normal">_XLFN.MODE.SNGL('Лист3'!$B$2:$B$25)</f>
        <v>#N/A</v>
      </c>
      <c r="D6" s="0" t="e">
        <f aca="false" ca="false" dt2D="false" dtr="false" t="normal">_XLFN.MODE.SNGL('Лист3'!$B$2:$B$25)</f>
        <v>#N/A</v>
      </c>
    </row>
    <row outlineLevel="0" r="7">
      <c r="A7" s="1" t="s">
        <v>12</v>
      </c>
      <c r="B7" s="4" t="s">
        <v>14</v>
      </c>
      <c r="C7" s="5" t="s">
        <v>15</v>
      </c>
      <c r="D7" s="6" t="s">
        <v>16</v>
      </c>
    </row>
    <row outlineLevel="0" r="8">
      <c r="A8" s="0" t="s">
        <v>3</v>
      </c>
      <c r="C8" s="3" t="s">
        <v>13</v>
      </c>
      <c r="D8" s="3" t="s">
        <v>13</v>
      </c>
    </row>
    <row outlineLevel="0" r="9">
      <c r="A9" s="0" t="s">
        <v>3</v>
      </c>
    </row>
    <row outlineLevel="0" r="10">
      <c r="A10" s="1" t="s">
        <v>3</v>
      </c>
    </row>
    <row outlineLevel="0" r="11">
      <c r="A11" s="0" t="s">
        <v>3</v>
      </c>
    </row>
    <row outlineLevel="0" r="12">
      <c r="A12" s="1" t="s">
        <v>3</v>
      </c>
    </row>
    <row outlineLevel="0" r="13">
      <c r="A13" s="1" t="s">
        <v>3</v>
      </c>
    </row>
    <row outlineLevel="0" r="14">
      <c r="A14" s="1" t="s">
        <v>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4.501107784740094"/>
  </cols>
  <sheetData>
    <row outlineLevel="0" r="1">
      <c r="A1" s="2" t="s">
        <v>3</v>
      </c>
      <c r="B1" s="2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17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18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232217</v>
      </c>
      <c r="G3" s="0" t="n">
        <v>634423</v>
      </c>
      <c r="H3" s="0" t="n">
        <v>235455</v>
      </c>
    </row>
    <row outlineLevel="0" r="4">
      <c r="A4" s="0" t="s">
        <v>19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20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  <row outlineLevel="0" r="6">
      <c r="A6" s="7" t="s">
        <v>21</v>
      </c>
      <c r="B6" s="0" t="n">
        <f aca="false" ca="false" dt2D="false" dtr="false" t="normal">SUM(B$2:B$5)</f>
        <v>9920401</v>
      </c>
      <c r="C6" s="0" t="n">
        <f aca="false" ca="false" dt2D="false" dtr="false" t="normal">SUM(C$2:C$5)</f>
        <v>15687922</v>
      </c>
      <c r="D6" s="0" t="n">
        <f aca="false" ca="false" dt2D="false" dtr="false" t="normal">SUM(D$2:D$5)</f>
        <v>12316185</v>
      </c>
      <c r="E6" s="0" t="n">
        <f aca="false" ca="false" dt2D="false" dtr="false" t="normal">SUM(E$2:E$5)</f>
        <v>16464446</v>
      </c>
      <c r="F6" s="0" t="n">
        <f aca="false" ca="false" dt2D="false" dtr="false" t="normal">SUM(F$2:F$5)</f>
        <v>16125859</v>
      </c>
      <c r="G6" s="0" t="n">
        <f aca="false" ca="false" dt2D="false" dtr="false" t="normal">SUM(G$2:G$5)</f>
        <v>12784778</v>
      </c>
      <c r="H6" s="0" t="n">
        <f aca="false" ca="false" dt2D="false" dtr="false" t="normal">SUM(H$2:H$5)</f>
        <v>22315883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2026-05-21T07:12:24Z</dcterms:created>
  <dcterms:modified xsi:type="dcterms:W3CDTF">2026-05-21T07:12:24Z</dcterms:modified>
</cp:coreProperties>
</file>